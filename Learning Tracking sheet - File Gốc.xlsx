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 DAYS" sheetId="1" r:id="rId5"/>
    <sheet state="visible" name="002" sheetId="2" r:id="rId6"/>
    <sheet state="visible" name="B" sheetId="3" r:id="rId7"/>
    <sheet state="hidden" name="HDSD lịch" sheetId="4" r:id="rId8"/>
    <sheet state="hidden" name="biểu tượng" sheetId="5" r:id="rId9"/>
  </sheets>
  <definedNames/>
  <calcPr/>
</workbook>
</file>

<file path=xl/sharedStrings.xml><?xml version="1.0" encoding="utf-8"?>
<sst xmlns="http://schemas.openxmlformats.org/spreadsheetml/2006/main" count="57" uniqueCount="24">
  <si>
    <t>Họ tên</t>
  </si>
  <si>
    <t>Ngô Thanh</t>
  </si>
  <si>
    <t>Năm</t>
  </si>
  <si>
    <t>Tháng</t>
  </si>
  <si>
    <t>STT</t>
  </si>
  <si>
    <t>Day</t>
  </si>
  <si>
    <t xml:space="preserve">TỔNG </t>
  </si>
  <si>
    <t>Thứ</t>
  </si>
  <si>
    <t>Đi học đầy đủ</t>
  </si>
  <si>
    <t>Nhớ từ vựng</t>
  </si>
  <si>
    <t>Role-play với bạn</t>
  </si>
  <si>
    <t>BTVN quay video</t>
  </si>
  <si>
    <t>BTVN học Quizlet</t>
  </si>
  <si>
    <t>Hoàn thành</t>
  </si>
  <si>
    <t>Chưa hoàn thành</t>
  </si>
  <si>
    <t>Tỉ lệ hoàn thành</t>
  </si>
  <si>
    <t>Trạng thái</t>
  </si>
  <si>
    <t>A</t>
  </si>
  <si>
    <t>Cách dùng:</t>
  </si>
  <si>
    <r>
      <rPr>
        <rFont val="Arial, sans-serif"/>
        <color rgb="FF202124"/>
        <sz val="11.0"/>
      </rPr>
      <t xml:space="preserve">- B1: </t>
    </r>
    <r>
      <rPr>
        <rFont val="Arial, sans-serif"/>
        <b/>
        <color rgb="FF202124"/>
        <sz val="11.0"/>
      </rPr>
      <t>Make a copy (Nhân bản trang tính)</t>
    </r>
    <r>
      <rPr>
        <rFont val="Arial, sans-serif"/>
        <color rgb="FF202124"/>
        <sz val="11.0"/>
      </rPr>
      <t xml:space="preserve"> để bạn có thể chỉnh sửa được nha. (</t>
    </r>
    <r>
      <rPr>
        <rFont val="Arial, sans-serif"/>
        <b/>
        <color rgb="FF202124"/>
        <sz val="11.0"/>
      </rPr>
      <t>Bạn ấn vào nút File (Tệp) - góc gần bên tay trái màn hình -&gt; Ấn vào Make a copy (Tạo bản sao)</t>
    </r>
  </si>
  <si>
    <t>- B2: Hãy ghi các thói quen mà bạn muốn thực hiện vào cột Habit</t>
  </si>
  <si>
    <t>- B3: Cuối ngày, hãy vào Trang tính và tick vào các thói quen mà bạn đã hoàn thành</t>
  </si>
  <si>
    <t>- B4: Đủ 7 tick là chú mèo của bạn sẽ được thay đổi cảm xúc (với pink version), và Sung Ji Woo được thăng cấp (với grey version)</t>
  </si>
  <si>
    <t>CAT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</si>
</sst>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"/>
  </numFmts>
  <fonts count="15">
    <font>
      <sz val="10.0"/>
      <color rgb="FF000000"/>
      <name val="Arial"/>
      <scheme val="minor"/>
    </font>
    <font>
      <color rgb="FF85200C"/>
      <name val="Arial"/>
      <scheme val="minor"/>
    </font>
    <font>
      <b/>
      <sz val="10.0"/>
      <color rgb="FF85200C"/>
      <name val="Arial"/>
      <scheme val="minor"/>
    </font>
    <font>
      <b/>
      <sz val="18.0"/>
      <color rgb="FF85200C"/>
      <name val="Arial"/>
      <scheme val="minor"/>
    </font>
    <font>
      <b/>
      <sz val="14.0"/>
      <color rgb="FF85200C"/>
      <name val="Arial"/>
      <scheme val="minor"/>
    </font>
    <font>
      <b/>
      <color rgb="FF85200C"/>
      <name val="Arial"/>
      <scheme val="minor"/>
    </font>
    <font/>
    <font>
      <b/>
      <color rgb="FF85200C"/>
      <name val="Arial"/>
    </font>
    <font>
      <b/>
      <i/>
      <sz val="8.0"/>
      <color rgb="FF85200C"/>
      <name val="Arial"/>
      <scheme val="minor"/>
    </font>
    <font>
      <b/>
      <i/>
      <color rgb="FF85200C"/>
      <name val="Arial"/>
      <scheme val="minor"/>
    </font>
    <font>
      <sz val="9.0"/>
      <color rgb="FF000000"/>
      <name val="&quot;Google Sans Mono&quot;"/>
    </font>
    <font>
      <b/>
      <sz val="11.0"/>
      <color rgb="FF202124"/>
      <name val="Arial"/>
    </font>
    <font>
      <sz val="11.0"/>
      <color rgb="FF202124"/>
      <name val="Arial"/>
    </font>
    <font>
      <color theme="1"/>
      <name val="Arial"/>
      <scheme val="minor"/>
    </font>
    <font>
      <sz val="4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medium">
        <color rgb="FFA61C00"/>
      </left>
      <right style="medium">
        <color rgb="FFA61C00"/>
      </right>
      <top style="medium">
        <color rgb="FFA61C00"/>
      </top>
      <bottom style="medium">
        <color rgb="FFA61C00"/>
      </bottom>
    </border>
    <border>
      <left style="medium">
        <color rgb="FFA61C00"/>
      </left>
      <right style="medium">
        <color rgb="FFA61C00"/>
      </right>
      <top style="medium">
        <color rgb="FFA61C00"/>
      </top>
    </border>
    <border>
      <left style="medium">
        <color rgb="FFA61C00"/>
      </left>
      <right style="medium">
        <color rgb="FFA61C00"/>
      </right>
      <bottom style="medium">
        <color rgb="FFA61C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3" fillId="0" fontId="6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wrapText="1"/>
    </xf>
    <xf borderId="0" fillId="2" fontId="10" numFmtId="9" xfId="0" applyAlignment="1" applyFill="1" applyFont="1" applyNumberFormat="1">
      <alignment horizontal="center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B8AF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'30 DAYS'!$B$15:$B$16</c:f>
            </c:strRef>
          </c:cat>
          <c:val>
            <c:numRef>
              <c:f>'30 DAYS'!$Q$15:$Q$16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'30 DAYS'!$B$8:$B$14</c:f>
            </c:strRef>
          </c:cat>
          <c:val>
            <c:numRef>
              <c:f>'30 DAYS'!$Q$8:$Q$14</c:f>
              <c:numCache/>
            </c:numRef>
          </c:val>
        </c:ser>
        <c:overlap val="100"/>
        <c:axId val="584372272"/>
        <c:axId val="551922517"/>
      </c:barChart>
      <c:catAx>
        <c:axId val="5843722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922517"/>
      </c:catAx>
      <c:valAx>
        <c:axId val="5519225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3722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B8AF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'002'!$B$15:$B$16</c:f>
            </c:strRef>
          </c:cat>
          <c:val>
            <c:numRef>
              <c:f>'002'!$Q$15:$Q$16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'002'!$B$8:$B$14</c:f>
            </c:strRef>
          </c:cat>
          <c:val>
            <c:numRef>
              <c:f>'002'!$Q$8:$Q$14</c:f>
              <c:numCache/>
            </c:numRef>
          </c:val>
        </c:ser>
        <c:overlap val="100"/>
        <c:axId val="985138148"/>
        <c:axId val="419960832"/>
      </c:barChart>
      <c:catAx>
        <c:axId val="9851381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960832"/>
      </c:catAx>
      <c:valAx>
        <c:axId val="4199608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1381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B8AF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B!$B$15:$B$16</c:f>
            </c:strRef>
          </c:cat>
          <c:val>
            <c:numRef>
              <c:f>B!$Q$15:$Q$16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B!$B$8:$B$14</c:f>
            </c:strRef>
          </c:cat>
          <c:val>
            <c:numRef>
              <c:f>B!$Q$8:$Q$14</c:f>
              <c:numCache/>
            </c:numRef>
          </c:val>
        </c:ser>
        <c:overlap val="100"/>
        <c:axId val="535466346"/>
        <c:axId val="1482820271"/>
      </c:barChart>
      <c:catAx>
        <c:axId val="5354663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820271"/>
      </c:catAx>
      <c:valAx>
        <c:axId val="14828202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4663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5.jpg"/><Relationship Id="rId4" Type="http://schemas.openxmlformats.org/officeDocument/2006/relationships/image" Target="../media/image1.jpg"/><Relationship Id="rId5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0</xdr:rowOff>
    </xdr:from>
    <xdr:ext cx="3829050" cy="174307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0</xdr:row>
      <xdr:rowOff>0</xdr:rowOff>
    </xdr:from>
    <xdr:ext cx="4848225" cy="174307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0</xdr:rowOff>
    </xdr:from>
    <xdr:ext cx="3829050" cy="1743075"/>
    <xdr:graphicFrame>
      <xdr:nvGraphicFramePr>
        <xdr:cNvPr id="3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0</xdr:row>
      <xdr:rowOff>0</xdr:rowOff>
    </xdr:from>
    <xdr:ext cx="4848225" cy="1743075"/>
    <xdr:graphicFrame>
      <xdr:nvGraphicFramePr>
        <xdr:cNvPr id="4" name="Chart 4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0</xdr:rowOff>
    </xdr:from>
    <xdr:ext cx="3829050" cy="1743075"/>
    <xdr:graphicFrame>
      <xdr:nvGraphicFramePr>
        <xdr:cNvPr id="5" name="Chart 5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0</xdr:row>
      <xdr:rowOff>0</xdr:rowOff>
    </xdr:from>
    <xdr:ext cx="4848225" cy="1743075"/>
    <xdr:graphicFrame>
      <xdr:nvGraphicFramePr>
        <xdr:cNvPr id="6" name="Chart 6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962025" cy="962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9620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62025" cy="96202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9620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62025" cy="96202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24.63"/>
    <col customWidth="1" min="3" max="3" width="10.5"/>
    <col customWidth="1" min="4" max="17" width="8.38"/>
  </cols>
  <sheetData>
    <row r="1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50.25" customHeight="1">
      <c r="A3" s="6" t="s">
        <v>2</v>
      </c>
      <c r="B3" s="7">
        <v>2025.0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ht="50.25" customHeight="1">
      <c r="A4" s="6" t="s">
        <v>3</v>
      </c>
      <c r="B4" s="9">
        <v>5.0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>
      <c r="A5" s="3"/>
      <c r="B5" s="5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ht="21.75" customHeight="1">
      <c r="A6" s="10" t="s">
        <v>4</v>
      </c>
      <c r="B6" s="11" t="s">
        <v>5</v>
      </c>
      <c r="C6" s="12">
        <f>DATE(B3,B4,1)</f>
        <v>45778</v>
      </c>
      <c r="D6" s="13">
        <v>4.0</v>
      </c>
      <c r="E6" s="13">
        <v>7.0</v>
      </c>
      <c r="F6" s="13">
        <v>11.0</v>
      </c>
      <c r="G6" s="12">
        <f t="shared" ref="G6:P6" si="1">F6+1</f>
        <v>12</v>
      </c>
      <c r="H6" s="12">
        <f t="shared" si="1"/>
        <v>13</v>
      </c>
      <c r="I6" s="12">
        <f t="shared" si="1"/>
        <v>14</v>
      </c>
      <c r="J6" s="12">
        <f t="shared" si="1"/>
        <v>15</v>
      </c>
      <c r="K6" s="12">
        <f t="shared" si="1"/>
        <v>16</v>
      </c>
      <c r="L6" s="12">
        <f t="shared" si="1"/>
        <v>17</v>
      </c>
      <c r="M6" s="12">
        <f t="shared" si="1"/>
        <v>18</v>
      </c>
      <c r="N6" s="12">
        <f t="shared" si="1"/>
        <v>19</v>
      </c>
      <c r="O6" s="12">
        <f t="shared" si="1"/>
        <v>20</v>
      </c>
      <c r="P6" s="12">
        <f t="shared" si="1"/>
        <v>21</v>
      </c>
      <c r="Q6" s="14" t="s">
        <v>6</v>
      </c>
    </row>
    <row r="7" ht="21.75" customHeight="1">
      <c r="A7" s="15"/>
      <c r="B7" s="11" t="s">
        <v>7</v>
      </c>
      <c r="C7" s="16" t="str">
        <f t="shared" ref="C7:P7" si="2">IF(C6="","",CHOOSE(WEEKDAY(C6),"CN","T2","T3","T4","T5","T6","T7"))</f>
        <v>T5</v>
      </c>
      <c r="D7" s="16" t="str">
        <f t="shared" si="2"/>
        <v>T4</v>
      </c>
      <c r="E7" s="16" t="str">
        <f t="shared" si="2"/>
        <v>T7</v>
      </c>
      <c r="F7" s="16" t="str">
        <f t="shared" si="2"/>
        <v>T4</v>
      </c>
      <c r="G7" s="16" t="str">
        <f t="shared" si="2"/>
        <v>T5</v>
      </c>
      <c r="H7" s="16" t="str">
        <f t="shared" si="2"/>
        <v>T6</v>
      </c>
      <c r="I7" s="16" t="str">
        <f t="shared" si="2"/>
        <v>T7</v>
      </c>
      <c r="J7" s="16" t="str">
        <f t="shared" si="2"/>
        <v>CN</v>
      </c>
      <c r="K7" s="16" t="str">
        <f t="shared" si="2"/>
        <v>T2</v>
      </c>
      <c r="L7" s="16" t="str">
        <f t="shared" si="2"/>
        <v>T3</v>
      </c>
      <c r="M7" s="16" t="str">
        <f t="shared" si="2"/>
        <v>T4</v>
      </c>
      <c r="N7" s="16" t="str">
        <f t="shared" si="2"/>
        <v>T5</v>
      </c>
      <c r="O7" s="16" t="str">
        <f t="shared" si="2"/>
        <v>T6</v>
      </c>
      <c r="P7" s="16" t="str">
        <f t="shared" si="2"/>
        <v>T7</v>
      </c>
      <c r="Q7" s="17"/>
    </row>
    <row r="8" ht="27.0" customHeight="1">
      <c r="A8" s="10">
        <v>1.0</v>
      </c>
      <c r="B8" s="18" t="s">
        <v>8</v>
      </c>
      <c r="C8" s="19" t="b">
        <v>1</v>
      </c>
      <c r="D8" s="19" t="b">
        <v>0</v>
      </c>
      <c r="E8" s="19" t="b">
        <v>1</v>
      </c>
      <c r="F8" s="19" t="b">
        <v>1</v>
      </c>
      <c r="G8" s="19" t="b">
        <v>1</v>
      </c>
      <c r="H8" s="19" t="b">
        <v>1</v>
      </c>
      <c r="I8" s="19" t="b">
        <v>0</v>
      </c>
      <c r="J8" s="19" t="b">
        <v>1</v>
      </c>
      <c r="K8" s="19" t="b">
        <v>0</v>
      </c>
      <c r="L8" s="19" t="b">
        <v>1</v>
      </c>
      <c r="M8" s="19" t="b">
        <v>1</v>
      </c>
      <c r="N8" s="19" t="b">
        <v>1</v>
      </c>
      <c r="O8" s="19" t="b">
        <v>1</v>
      </c>
      <c r="P8" s="19" t="b">
        <v>1</v>
      </c>
      <c r="Q8" s="20">
        <f t="shared" ref="Q8:Q14" si="3">COUNTIF(C8:P8,"TRUE")</f>
        <v>11</v>
      </c>
    </row>
    <row r="9" ht="27.0" customHeight="1">
      <c r="A9" s="10">
        <v>2.0</v>
      </c>
      <c r="B9" s="21" t="s">
        <v>9</v>
      </c>
      <c r="C9" s="19" t="b">
        <v>1</v>
      </c>
      <c r="D9" s="19" t="b">
        <v>0</v>
      </c>
      <c r="E9" s="19" t="b">
        <v>1</v>
      </c>
      <c r="F9" s="19" t="b">
        <v>1</v>
      </c>
      <c r="G9" s="19" t="b">
        <v>0</v>
      </c>
      <c r="H9" s="19" t="b">
        <v>1</v>
      </c>
      <c r="I9" s="19" t="b">
        <v>0</v>
      </c>
      <c r="J9" s="20" t="b">
        <v>0</v>
      </c>
      <c r="K9" s="20" t="b">
        <v>0</v>
      </c>
      <c r="L9" s="20" t="b">
        <v>0</v>
      </c>
      <c r="M9" s="20" t="b">
        <v>0</v>
      </c>
      <c r="N9" s="20" t="b">
        <v>0</v>
      </c>
      <c r="O9" s="20" t="b">
        <v>0</v>
      </c>
      <c r="P9" s="20" t="b">
        <v>0</v>
      </c>
      <c r="Q9" s="20">
        <f t="shared" si="3"/>
        <v>4</v>
      </c>
    </row>
    <row r="10" ht="27.0" customHeight="1">
      <c r="A10" s="10">
        <v>3.0</v>
      </c>
      <c r="B10" s="21" t="s">
        <v>10</v>
      </c>
      <c r="C10" s="19" t="b">
        <v>1</v>
      </c>
      <c r="D10" s="19" t="b">
        <v>0</v>
      </c>
      <c r="E10" s="19" t="b">
        <v>1</v>
      </c>
      <c r="F10" s="19" t="b">
        <v>1</v>
      </c>
      <c r="G10" s="19" t="b">
        <v>1</v>
      </c>
      <c r="H10" s="19" t="b">
        <v>1</v>
      </c>
      <c r="I10" s="19" t="b">
        <v>0</v>
      </c>
      <c r="J10" s="20" t="b">
        <v>0</v>
      </c>
      <c r="K10" s="20" t="b">
        <v>0</v>
      </c>
      <c r="L10" s="20" t="b">
        <v>0</v>
      </c>
      <c r="M10" s="20" t="b">
        <v>0</v>
      </c>
      <c r="N10" s="20" t="b">
        <v>0</v>
      </c>
      <c r="O10" s="20" t="b">
        <v>0</v>
      </c>
      <c r="P10" s="20" t="b">
        <v>0</v>
      </c>
      <c r="Q10" s="20">
        <f t="shared" si="3"/>
        <v>5</v>
      </c>
    </row>
    <row r="11" ht="27.0" customHeight="1">
      <c r="A11" s="10">
        <v>4.0</v>
      </c>
      <c r="B11" s="21" t="s">
        <v>11</v>
      </c>
      <c r="C11" s="19" t="b">
        <v>1</v>
      </c>
      <c r="D11" s="19" t="b">
        <v>0</v>
      </c>
      <c r="E11" s="19" t="b">
        <v>0</v>
      </c>
      <c r="F11" s="19" t="b">
        <v>1</v>
      </c>
      <c r="G11" s="19" t="b">
        <v>0</v>
      </c>
      <c r="H11" s="19" t="b">
        <v>1</v>
      </c>
      <c r="I11" s="19" t="b">
        <v>0</v>
      </c>
      <c r="J11" s="20" t="b">
        <v>0</v>
      </c>
      <c r="K11" s="20" t="b">
        <v>0</v>
      </c>
      <c r="L11" s="20" t="b">
        <v>0</v>
      </c>
      <c r="M11" s="20" t="b">
        <v>0</v>
      </c>
      <c r="N11" s="20" t="b">
        <v>0</v>
      </c>
      <c r="O11" s="20" t="b">
        <v>0</v>
      </c>
      <c r="P11" s="20" t="b">
        <v>0</v>
      </c>
      <c r="Q11" s="20">
        <f t="shared" si="3"/>
        <v>3</v>
      </c>
    </row>
    <row r="12" ht="27.0" customHeight="1">
      <c r="A12" s="10">
        <v>5.0</v>
      </c>
      <c r="B12" s="21" t="s">
        <v>12</v>
      </c>
      <c r="C12" s="19" t="b">
        <v>1</v>
      </c>
      <c r="D12" s="19" t="b">
        <v>0</v>
      </c>
      <c r="E12" s="19" t="b">
        <v>0</v>
      </c>
      <c r="F12" s="19" t="b">
        <v>0</v>
      </c>
      <c r="G12" s="19" t="b">
        <v>0</v>
      </c>
      <c r="H12" s="19" t="b">
        <v>1</v>
      </c>
      <c r="I12" s="19" t="b">
        <v>0</v>
      </c>
      <c r="J12" s="20" t="b">
        <v>0</v>
      </c>
      <c r="K12" s="20" t="b">
        <v>0</v>
      </c>
      <c r="L12" s="20" t="b">
        <v>0</v>
      </c>
      <c r="M12" s="20" t="b">
        <v>0</v>
      </c>
      <c r="N12" s="20" t="b">
        <v>0</v>
      </c>
      <c r="O12" s="20" t="b">
        <v>0</v>
      </c>
      <c r="P12" s="20" t="b">
        <v>0</v>
      </c>
      <c r="Q12" s="20">
        <f t="shared" si="3"/>
        <v>2</v>
      </c>
    </row>
    <row r="13" ht="27.0" customHeight="1">
      <c r="A13" s="10">
        <v>6.0</v>
      </c>
      <c r="B13" s="21"/>
      <c r="C13" s="19" t="b">
        <v>1</v>
      </c>
      <c r="D13" s="19" t="b">
        <v>0</v>
      </c>
      <c r="E13" s="19" t="b">
        <v>0</v>
      </c>
      <c r="F13" s="19" t="b">
        <v>0</v>
      </c>
      <c r="G13" s="19" t="b">
        <v>0</v>
      </c>
      <c r="H13" s="19" t="b">
        <v>1</v>
      </c>
      <c r="I13" s="19" t="b">
        <v>0</v>
      </c>
      <c r="J13" s="20" t="b">
        <v>0</v>
      </c>
      <c r="K13" s="20" t="b">
        <v>0</v>
      </c>
      <c r="L13" s="20" t="b">
        <v>0</v>
      </c>
      <c r="M13" s="20" t="b">
        <v>0</v>
      </c>
      <c r="N13" s="20" t="b">
        <v>0</v>
      </c>
      <c r="O13" s="20" t="b">
        <v>0</v>
      </c>
      <c r="P13" s="20" t="b">
        <v>0</v>
      </c>
      <c r="Q13" s="20">
        <f t="shared" si="3"/>
        <v>2</v>
      </c>
    </row>
    <row r="14" ht="27.0" customHeight="1">
      <c r="A14" s="10">
        <v>7.0</v>
      </c>
      <c r="B14" s="21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20"/>
      <c r="P14" s="20"/>
      <c r="Q14" s="20">
        <f t="shared" si="3"/>
        <v>0</v>
      </c>
    </row>
    <row r="15">
      <c r="A15" s="3"/>
      <c r="B15" s="22" t="s">
        <v>13</v>
      </c>
      <c r="C15" s="8">
        <f t="shared" ref="C15:P15" si="4">COUNTIF(C8:C14,"TRUE")</f>
        <v>6</v>
      </c>
      <c r="D15" s="8">
        <f t="shared" si="4"/>
        <v>0</v>
      </c>
      <c r="E15" s="8">
        <f t="shared" si="4"/>
        <v>3</v>
      </c>
      <c r="F15" s="8">
        <f t="shared" si="4"/>
        <v>4</v>
      </c>
      <c r="G15" s="8">
        <f t="shared" si="4"/>
        <v>2</v>
      </c>
      <c r="H15" s="8">
        <f t="shared" si="4"/>
        <v>6</v>
      </c>
      <c r="I15" s="8">
        <f t="shared" si="4"/>
        <v>0</v>
      </c>
      <c r="J15" s="8">
        <f t="shared" si="4"/>
        <v>1</v>
      </c>
      <c r="K15" s="8">
        <f t="shared" si="4"/>
        <v>0</v>
      </c>
      <c r="L15" s="8">
        <f t="shared" si="4"/>
        <v>1</v>
      </c>
      <c r="M15" s="8">
        <f t="shared" si="4"/>
        <v>1</v>
      </c>
      <c r="N15" s="8">
        <f t="shared" si="4"/>
        <v>1</v>
      </c>
      <c r="O15" s="8">
        <f t="shared" si="4"/>
        <v>1</v>
      </c>
      <c r="P15" s="8">
        <f t="shared" si="4"/>
        <v>1</v>
      </c>
      <c r="Q15" s="8">
        <f t="shared" ref="Q15:Q16" si="6">SUM(C15:P15)</f>
        <v>27</v>
      </c>
    </row>
    <row r="16">
      <c r="A16" s="3"/>
      <c r="B16" s="22" t="s">
        <v>14</v>
      </c>
      <c r="C16" s="23">
        <f t="shared" ref="C16:P16" si="5">COUNTIF(C8:C14,"FALSE")</f>
        <v>0</v>
      </c>
      <c r="D16" s="23">
        <f t="shared" si="5"/>
        <v>6</v>
      </c>
      <c r="E16" s="23">
        <f t="shared" si="5"/>
        <v>3</v>
      </c>
      <c r="F16" s="23">
        <f t="shared" si="5"/>
        <v>2</v>
      </c>
      <c r="G16" s="23">
        <f t="shared" si="5"/>
        <v>4</v>
      </c>
      <c r="H16" s="23">
        <f t="shared" si="5"/>
        <v>0</v>
      </c>
      <c r="I16" s="23">
        <f t="shared" si="5"/>
        <v>6</v>
      </c>
      <c r="J16" s="23">
        <f t="shared" si="5"/>
        <v>5</v>
      </c>
      <c r="K16" s="23">
        <f t="shared" si="5"/>
        <v>6</v>
      </c>
      <c r="L16" s="23">
        <f t="shared" si="5"/>
        <v>5</v>
      </c>
      <c r="M16" s="23">
        <f t="shared" si="5"/>
        <v>5</v>
      </c>
      <c r="N16" s="23">
        <f t="shared" si="5"/>
        <v>5</v>
      </c>
      <c r="O16" s="23">
        <f t="shared" si="5"/>
        <v>5</v>
      </c>
      <c r="P16" s="23">
        <f t="shared" si="5"/>
        <v>5</v>
      </c>
      <c r="Q16" s="8">
        <f t="shared" si="6"/>
        <v>57</v>
      </c>
    </row>
    <row r="17">
      <c r="A17" s="3"/>
      <c r="B17" s="24" t="s">
        <v>15</v>
      </c>
      <c r="C17" s="25">
        <f t="shared" ref="C17:Q17" si="7">C15/(C15+C16)</f>
        <v>1</v>
      </c>
      <c r="D17" s="25">
        <f t="shared" si="7"/>
        <v>0</v>
      </c>
      <c r="E17" s="25">
        <f t="shared" si="7"/>
        <v>0.5</v>
      </c>
      <c r="F17" s="25">
        <f t="shared" si="7"/>
        <v>0.6666666667</v>
      </c>
      <c r="G17" s="25">
        <f t="shared" si="7"/>
        <v>0.3333333333</v>
      </c>
      <c r="H17" s="25">
        <f t="shared" si="7"/>
        <v>1</v>
      </c>
      <c r="I17" s="25">
        <f t="shared" si="7"/>
        <v>0</v>
      </c>
      <c r="J17" s="25">
        <f t="shared" si="7"/>
        <v>0.1666666667</v>
      </c>
      <c r="K17" s="25">
        <f t="shared" si="7"/>
        <v>0</v>
      </c>
      <c r="L17" s="25">
        <f t="shared" si="7"/>
        <v>0.1666666667</v>
      </c>
      <c r="M17" s="25">
        <f t="shared" si="7"/>
        <v>0.1666666667</v>
      </c>
      <c r="N17" s="25">
        <f t="shared" si="7"/>
        <v>0.1666666667</v>
      </c>
      <c r="O17" s="25">
        <f t="shared" si="7"/>
        <v>0.1666666667</v>
      </c>
      <c r="P17" s="25">
        <f t="shared" si="7"/>
        <v>0.1666666667</v>
      </c>
      <c r="Q17" s="25">
        <f t="shared" si="7"/>
        <v>0.3214285714</v>
      </c>
    </row>
    <row r="18" ht="50.25" customHeight="1">
      <c r="A18" s="3"/>
      <c r="B18" s="26" t="s">
        <v>16</v>
      </c>
      <c r="C18" s="23" t="str">
        <f>IF(C17&lt;25%,'biểu tượng'!$A3,IF(AND(C17&gt;=25%,C17&lt;50%),'biểu tượng'!$A4,IF(AND(C17&gt;=50%,C17&lt;75%),'biểu tượng'!$A5,IF(AND(C17&gt;=75%,C17&lt;98%),'biểu tượng'!$A6,IF(C17&gt;98%,'biểu tượng'!$A7,"")))))</f>
        <v/>
      </c>
      <c r="D18" s="23" t="str">
        <f>IF(D17&lt;25%,'biểu tượng'!$A3,IF(AND(D17&gt;=25%,D17&lt;50%),'biểu tượng'!$A4,IF(AND(D17&gt;=50%,D17&lt;75%),'biểu tượng'!$A5,IF(AND(D17&gt;=75%,D17&lt;98%),'biểu tượng'!$A6,IF(D17&gt;98%,'biểu tượng'!$A7,"")))))</f>
        <v/>
      </c>
      <c r="E18" s="23" t="str">
        <f>IF(E17&lt;25%,'biểu tượng'!$A3,IF(AND(E17&gt;=25%,E17&lt;50%),'biểu tượng'!$A4,IF(AND(E17&gt;=50%,E17&lt;75%),'biểu tượng'!$A5,IF(AND(E17&gt;=75%,E17&lt;98%),'biểu tượng'!$A6,IF(E17&gt;98%,'biểu tượng'!$A7,"")))))</f>
        <v/>
      </c>
      <c r="F18" s="23" t="str">
        <f>IF(F17&lt;25%,'biểu tượng'!$A3,IF(AND(F17&gt;=25%,F17&lt;50%),'biểu tượng'!$A4,IF(AND(F17&gt;=50%,F17&lt;75%),'biểu tượng'!$A5,IF(AND(F17&gt;=75%,F17&lt;98%),'biểu tượng'!$A6,IF(F17&gt;98%,'biểu tượng'!$A7,"")))))</f>
        <v/>
      </c>
      <c r="G18" s="23" t="str">
        <f>IF(G17&lt;25%,'biểu tượng'!$A3,IF(AND(G17&gt;=25%,G17&lt;50%),'biểu tượng'!$A4,IF(AND(G17&gt;=50%,G17&lt;75%),'biểu tượng'!$A5,IF(AND(G17&gt;=75%,G17&lt;98%),'biểu tượng'!$A6,IF(G17&gt;98%,'biểu tượng'!$A7,"")))))</f>
        <v/>
      </c>
      <c r="H18" s="23" t="str">
        <f>IF(H17&lt;25%,'biểu tượng'!$A3,IF(AND(H17&gt;=25%,H17&lt;50%),'biểu tượng'!$A4,IF(AND(H17&gt;=50%,H17&lt;75%),'biểu tượng'!$A5,IF(AND(H17&gt;=75%,H17&lt;98%),'biểu tượng'!$A6,IF(H17&gt;98%,'biểu tượng'!$A7,"")))))</f>
        <v/>
      </c>
      <c r="I18" s="23" t="str">
        <f>IF(I17&lt;25%,'biểu tượng'!$A3,IF(AND(I17&gt;=25%,I17&lt;50%),'biểu tượng'!$A4,IF(AND(I17&gt;=50%,I17&lt;75%),'biểu tượng'!$A5,IF(AND(I17&gt;=75%,I17&lt;98%),'biểu tượng'!$A6,IF(I17&gt;98%,'biểu tượng'!$A7,"")))))</f>
        <v/>
      </c>
      <c r="J18" s="23" t="str">
        <f>IF(J17&lt;25%,'biểu tượng'!$A3,IF(AND(J17&gt;=25%,J17&lt;50%),'biểu tượng'!$A4,IF(AND(J17&gt;=50%,J17&lt;75%),'biểu tượng'!$A5,IF(AND(J17&gt;=75%,J17&lt;98%),'biểu tượng'!$A6,IF(J17&gt;98%,'biểu tượng'!$A7,"")))))</f>
        <v/>
      </c>
      <c r="K18" s="23" t="str">
        <f>IF(K17&lt;25%,'biểu tượng'!$A3,IF(AND(K17&gt;=25%,K17&lt;50%),'biểu tượng'!$A4,IF(AND(K17&gt;=50%,K17&lt;75%),'biểu tượng'!$A5,IF(AND(K17&gt;=75%,K17&lt;98%),'biểu tượng'!$A6,IF(K17&gt;98%,'biểu tượng'!$A7,"")))))</f>
        <v/>
      </c>
      <c r="L18" s="23" t="str">
        <f>IF(L17&lt;25%,'biểu tượng'!$A3,IF(AND(L17&gt;=25%,L17&lt;50%),'biểu tượng'!$A4,IF(AND(L17&gt;=50%,L17&lt;75%),'biểu tượng'!$A5,IF(AND(L17&gt;=75%,L17&lt;98%),'biểu tượng'!$A6,IF(L17&gt;98%,'biểu tượng'!$A7,"")))))</f>
        <v/>
      </c>
      <c r="M18" s="23" t="str">
        <f>IF(M17&lt;25%,'biểu tượng'!$A3,IF(AND(M17&gt;=25%,M17&lt;50%),'biểu tượng'!$A4,IF(AND(M17&gt;=50%,M17&lt;75%),'biểu tượng'!$A5,IF(AND(M17&gt;=75%,M17&lt;98%),'biểu tượng'!$A6,IF(M17&gt;98%,'biểu tượng'!$A7,"")))))</f>
        <v/>
      </c>
      <c r="N18" s="23" t="str">
        <f>IF(N17&lt;25%,'biểu tượng'!$A3,IF(AND(N17&gt;=25%,N17&lt;50%),'biểu tượng'!$A4,IF(AND(N17&gt;=50%,N17&lt;75%),'biểu tượng'!$A5,IF(AND(N17&gt;=75%,N17&lt;98%),'biểu tượng'!$A6,IF(N17&gt;98%,'biểu tượng'!$A7,"")))))</f>
        <v/>
      </c>
      <c r="O18" s="23" t="str">
        <f>IF(O17&lt;25%,'biểu tượng'!$A3,IF(AND(O17&gt;=25%,O17&lt;50%),'biểu tượng'!$A4,IF(AND(O17&gt;=50%,O17&lt;75%),'biểu tượng'!$A5,IF(AND(O17&gt;=75%,O17&lt;98%),'biểu tượng'!$A6,IF(O17&gt;98%,'biểu tượng'!$A7,"")))))</f>
        <v/>
      </c>
      <c r="P18" s="23" t="str">
        <f>IF(P17&lt;25%,'biểu tượng'!$A3,IF(AND(P17&gt;=25%,P17&lt;50%),'biểu tượng'!$A4,IF(AND(P17&gt;=50%,P17&lt;75%),'biểu tượng'!$A5,IF(AND(P17&gt;=75%,P17&lt;98%),'biểu tượng'!$A6,IF(P17&gt;98%,'biểu tượng'!$A7,"")))))</f>
        <v/>
      </c>
      <c r="Q18" s="8"/>
    </row>
    <row r="19" ht="51.75" customHeight="1">
      <c r="A19" s="3"/>
      <c r="B19" s="2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</sheetData>
  <mergeCells count="1">
    <mergeCell ref="Q6:Q7"/>
  </mergeCells>
  <conditionalFormatting sqref="C6:P14">
    <cfRule type="expression" dxfId="0" priority="1">
      <formula>WEEKDAY(I$6)=7</formula>
    </cfRule>
  </conditionalFormatting>
  <dataValidations>
    <dataValidation type="list" allowBlank="1" showErrorMessage="1" sqref="B4">
      <formula1>"1,2,3,4,5,6,7,8,9,10,11,12"</formula1>
    </dataValidation>
    <dataValidation type="list" allowBlank="1" showErrorMessage="1" sqref="B3">
      <formula1>"2024,2025,2026,2027,2028,2029,2030"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24.63"/>
    <col customWidth="1" min="3" max="17" width="8.38"/>
  </cols>
  <sheetData>
    <row r="1">
      <c r="A1" s="1" t="s">
        <v>0</v>
      </c>
      <c r="B1" s="2" t="s">
        <v>17</v>
      </c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50.25" customHeight="1">
      <c r="A3" s="6" t="s">
        <v>2</v>
      </c>
      <c r="B3" s="7">
        <v>2024.0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ht="50.25" customHeight="1">
      <c r="A4" s="6" t="s">
        <v>3</v>
      </c>
      <c r="B4" s="9">
        <v>7.0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>
      <c r="A5" s="3"/>
      <c r="B5" s="5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ht="21.75" customHeight="1">
      <c r="A6" s="10" t="s">
        <v>4</v>
      </c>
      <c r="B6" s="11" t="s">
        <v>5</v>
      </c>
      <c r="C6" s="12">
        <f>DATE(B3,B4,1)</f>
        <v>45474</v>
      </c>
      <c r="D6" s="13">
        <v>4.0</v>
      </c>
      <c r="E6" s="13">
        <v>7.0</v>
      </c>
      <c r="F6" s="13">
        <v>11.0</v>
      </c>
      <c r="G6" s="12">
        <f t="shared" ref="G6:P6" si="1">F6+1</f>
        <v>12</v>
      </c>
      <c r="H6" s="12">
        <f t="shared" si="1"/>
        <v>13</v>
      </c>
      <c r="I6" s="12">
        <f t="shared" si="1"/>
        <v>14</v>
      </c>
      <c r="J6" s="12">
        <f t="shared" si="1"/>
        <v>15</v>
      </c>
      <c r="K6" s="12">
        <f t="shared" si="1"/>
        <v>16</v>
      </c>
      <c r="L6" s="12">
        <f t="shared" si="1"/>
        <v>17</v>
      </c>
      <c r="M6" s="12">
        <f t="shared" si="1"/>
        <v>18</v>
      </c>
      <c r="N6" s="12">
        <f t="shared" si="1"/>
        <v>19</v>
      </c>
      <c r="O6" s="12">
        <f t="shared" si="1"/>
        <v>20</v>
      </c>
      <c r="P6" s="12">
        <f t="shared" si="1"/>
        <v>21</v>
      </c>
      <c r="Q6" s="14" t="s">
        <v>6</v>
      </c>
    </row>
    <row r="7" ht="21.75" customHeight="1">
      <c r="A7" s="15"/>
      <c r="B7" s="11" t="s">
        <v>7</v>
      </c>
      <c r="C7" s="16" t="str">
        <f t="shared" ref="C7:P7" si="2">IF(C6="","",CHOOSE(WEEKDAY(C6),"CN","T2","T3","T4","T5","T6","T7"))</f>
        <v>T2</v>
      </c>
      <c r="D7" s="16" t="str">
        <f t="shared" si="2"/>
        <v>T4</v>
      </c>
      <c r="E7" s="16" t="str">
        <f t="shared" si="2"/>
        <v>T7</v>
      </c>
      <c r="F7" s="16" t="str">
        <f t="shared" si="2"/>
        <v>T4</v>
      </c>
      <c r="G7" s="16" t="str">
        <f t="shared" si="2"/>
        <v>T5</v>
      </c>
      <c r="H7" s="16" t="str">
        <f t="shared" si="2"/>
        <v>T6</v>
      </c>
      <c r="I7" s="16" t="str">
        <f t="shared" si="2"/>
        <v>T7</v>
      </c>
      <c r="J7" s="16" t="str">
        <f t="shared" si="2"/>
        <v>CN</v>
      </c>
      <c r="K7" s="16" t="str">
        <f t="shared" si="2"/>
        <v>T2</v>
      </c>
      <c r="L7" s="16" t="str">
        <f t="shared" si="2"/>
        <v>T3</v>
      </c>
      <c r="M7" s="16" t="str">
        <f t="shared" si="2"/>
        <v>T4</v>
      </c>
      <c r="N7" s="16" t="str">
        <f t="shared" si="2"/>
        <v>T5</v>
      </c>
      <c r="O7" s="16" t="str">
        <f t="shared" si="2"/>
        <v>T6</v>
      </c>
      <c r="P7" s="16" t="str">
        <f t="shared" si="2"/>
        <v>T7</v>
      </c>
      <c r="Q7" s="17"/>
    </row>
    <row r="8" ht="27.0" customHeight="1">
      <c r="A8" s="10">
        <v>1.0</v>
      </c>
      <c r="B8" s="18" t="s">
        <v>8</v>
      </c>
      <c r="C8" s="19" t="b">
        <v>1</v>
      </c>
      <c r="D8" s="19" t="b">
        <v>1</v>
      </c>
      <c r="E8" s="19" t="b">
        <v>1</v>
      </c>
      <c r="F8" s="19" t="b">
        <v>1</v>
      </c>
      <c r="G8" s="19" t="b">
        <v>1</v>
      </c>
      <c r="H8" s="19" t="b">
        <v>1</v>
      </c>
      <c r="I8" s="19" t="b">
        <v>1</v>
      </c>
      <c r="J8" s="19" t="b">
        <v>1</v>
      </c>
      <c r="K8" s="19" t="b">
        <v>1</v>
      </c>
      <c r="L8" s="19" t="b">
        <v>1</v>
      </c>
      <c r="M8" s="19" t="b">
        <v>1</v>
      </c>
      <c r="N8" s="19" t="b">
        <v>1</v>
      </c>
      <c r="O8" s="19" t="b">
        <v>1</v>
      </c>
      <c r="P8" s="19" t="b">
        <v>1</v>
      </c>
      <c r="Q8" s="20">
        <f t="shared" ref="Q8:Q14" si="3">COUNTIF(C8:P8,"TRUE")</f>
        <v>14</v>
      </c>
    </row>
    <row r="9" ht="27.0" customHeight="1">
      <c r="A9" s="10">
        <v>2.0</v>
      </c>
      <c r="B9" s="21" t="s">
        <v>9</v>
      </c>
      <c r="C9" s="19" t="b">
        <v>0</v>
      </c>
      <c r="D9" s="19" t="b">
        <v>1</v>
      </c>
      <c r="E9" s="19" t="b">
        <v>1</v>
      </c>
      <c r="F9" s="19" t="b">
        <v>1</v>
      </c>
      <c r="G9" s="19" t="b">
        <v>0</v>
      </c>
      <c r="H9" s="19" t="b">
        <v>1</v>
      </c>
      <c r="I9" s="19" t="b">
        <v>0</v>
      </c>
      <c r="J9" s="20" t="b">
        <v>0</v>
      </c>
      <c r="K9" s="20" t="b">
        <v>0</v>
      </c>
      <c r="L9" s="20" t="b">
        <v>0</v>
      </c>
      <c r="M9" s="20" t="b">
        <v>0</v>
      </c>
      <c r="N9" s="20" t="b">
        <v>0</v>
      </c>
      <c r="O9" s="20" t="b">
        <v>0</v>
      </c>
      <c r="P9" s="20" t="b">
        <v>0</v>
      </c>
      <c r="Q9" s="20">
        <f t="shared" si="3"/>
        <v>4</v>
      </c>
    </row>
    <row r="10" ht="27.0" customHeight="1">
      <c r="A10" s="10">
        <v>3.0</v>
      </c>
      <c r="B10" s="21" t="s">
        <v>10</v>
      </c>
      <c r="C10" s="19" t="b">
        <v>0</v>
      </c>
      <c r="D10" s="19" t="b">
        <v>1</v>
      </c>
      <c r="E10" s="19" t="b">
        <v>1</v>
      </c>
      <c r="F10" s="19" t="b">
        <v>1</v>
      </c>
      <c r="G10" s="19" t="b">
        <v>1</v>
      </c>
      <c r="H10" s="19" t="b">
        <v>0</v>
      </c>
      <c r="I10" s="19" t="b">
        <v>0</v>
      </c>
      <c r="J10" s="20" t="b">
        <v>0</v>
      </c>
      <c r="K10" s="20" t="b">
        <v>0</v>
      </c>
      <c r="L10" s="20" t="b">
        <v>0</v>
      </c>
      <c r="M10" s="20" t="b">
        <v>0</v>
      </c>
      <c r="N10" s="20" t="b">
        <v>0</v>
      </c>
      <c r="O10" s="20" t="b">
        <v>0</v>
      </c>
      <c r="P10" s="20" t="b">
        <v>0</v>
      </c>
      <c r="Q10" s="20">
        <f t="shared" si="3"/>
        <v>4</v>
      </c>
    </row>
    <row r="11" ht="27.0" customHeight="1">
      <c r="A11" s="10">
        <v>4.0</v>
      </c>
      <c r="B11" s="21" t="s">
        <v>11</v>
      </c>
      <c r="C11" s="19" t="b">
        <v>0</v>
      </c>
      <c r="D11" s="19" t="b">
        <v>0</v>
      </c>
      <c r="E11" s="19" t="b">
        <v>0</v>
      </c>
      <c r="F11" s="19" t="b">
        <v>1</v>
      </c>
      <c r="G11" s="19" t="b">
        <v>0</v>
      </c>
      <c r="H11" s="19" t="b">
        <v>0</v>
      </c>
      <c r="I11" s="19" t="b">
        <v>0</v>
      </c>
      <c r="J11" s="20" t="b">
        <v>0</v>
      </c>
      <c r="K11" s="20" t="b">
        <v>0</v>
      </c>
      <c r="L11" s="20" t="b">
        <v>0</v>
      </c>
      <c r="M11" s="20" t="b">
        <v>0</v>
      </c>
      <c r="N11" s="20" t="b">
        <v>0</v>
      </c>
      <c r="O11" s="20" t="b">
        <v>0</v>
      </c>
      <c r="P11" s="20" t="b">
        <v>0</v>
      </c>
      <c r="Q11" s="20">
        <f t="shared" si="3"/>
        <v>1</v>
      </c>
    </row>
    <row r="12" ht="27.0" customHeight="1">
      <c r="A12" s="10">
        <v>5.0</v>
      </c>
      <c r="B12" s="21" t="s">
        <v>12</v>
      </c>
      <c r="C12" s="19" t="b">
        <v>0</v>
      </c>
      <c r="D12" s="19" t="b">
        <v>0</v>
      </c>
      <c r="E12" s="19" t="b">
        <v>0</v>
      </c>
      <c r="F12" s="19" t="b">
        <v>0</v>
      </c>
      <c r="G12" s="19" t="b">
        <v>0</v>
      </c>
      <c r="H12" s="19" t="b">
        <v>0</v>
      </c>
      <c r="I12" s="19" t="b">
        <v>0</v>
      </c>
      <c r="J12" s="20" t="b">
        <v>0</v>
      </c>
      <c r="K12" s="20" t="b">
        <v>0</v>
      </c>
      <c r="L12" s="20" t="b">
        <v>0</v>
      </c>
      <c r="M12" s="20" t="b">
        <v>0</v>
      </c>
      <c r="N12" s="20" t="b">
        <v>0</v>
      </c>
      <c r="O12" s="20" t="b">
        <v>0</v>
      </c>
      <c r="P12" s="20" t="b">
        <v>0</v>
      </c>
      <c r="Q12" s="20">
        <f t="shared" si="3"/>
        <v>0</v>
      </c>
    </row>
    <row r="13" ht="27.0" customHeight="1">
      <c r="A13" s="10">
        <v>6.0</v>
      </c>
      <c r="B13" s="21"/>
      <c r="C13" s="19" t="b">
        <v>0</v>
      </c>
      <c r="D13" s="19" t="b">
        <v>0</v>
      </c>
      <c r="E13" s="19" t="b">
        <v>0</v>
      </c>
      <c r="F13" s="19" t="b">
        <v>0</v>
      </c>
      <c r="G13" s="19" t="b">
        <v>0</v>
      </c>
      <c r="H13" s="19" t="b">
        <v>0</v>
      </c>
      <c r="I13" s="19" t="b">
        <v>0</v>
      </c>
      <c r="J13" s="20" t="b">
        <v>0</v>
      </c>
      <c r="K13" s="20" t="b">
        <v>0</v>
      </c>
      <c r="L13" s="20" t="b">
        <v>0</v>
      </c>
      <c r="M13" s="20" t="b">
        <v>0</v>
      </c>
      <c r="N13" s="20" t="b">
        <v>0</v>
      </c>
      <c r="O13" s="20" t="b">
        <v>0</v>
      </c>
      <c r="P13" s="20" t="b">
        <v>0</v>
      </c>
      <c r="Q13" s="20">
        <f t="shared" si="3"/>
        <v>0</v>
      </c>
    </row>
    <row r="14" ht="27.0" customHeight="1">
      <c r="A14" s="10">
        <v>7.0</v>
      </c>
      <c r="B14" s="21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20"/>
      <c r="P14" s="20"/>
      <c r="Q14" s="20">
        <f t="shared" si="3"/>
        <v>0</v>
      </c>
    </row>
    <row r="15">
      <c r="A15" s="3"/>
      <c r="B15" s="22" t="s">
        <v>13</v>
      </c>
      <c r="C15" s="8">
        <f t="shared" ref="C15:P15" si="4">COUNTIF(C8:C14,"TRUE")</f>
        <v>1</v>
      </c>
      <c r="D15" s="8">
        <f t="shared" si="4"/>
        <v>3</v>
      </c>
      <c r="E15" s="8">
        <f t="shared" si="4"/>
        <v>3</v>
      </c>
      <c r="F15" s="8">
        <f t="shared" si="4"/>
        <v>4</v>
      </c>
      <c r="G15" s="8">
        <f t="shared" si="4"/>
        <v>2</v>
      </c>
      <c r="H15" s="8">
        <f t="shared" si="4"/>
        <v>2</v>
      </c>
      <c r="I15" s="8">
        <f t="shared" si="4"/>
        <v>1</v>
      </c>
      <c r="J15" s="8">
        <f t="shared" si="4"/>
        <v>1</v>
      </c>
      <c r="K15" s="8">
        <f t="shared" si="4"/>
        <v>1</v>
      </c>
      <c r="L15" s="8">
        <f t="shared" si="4"/>
        <v>1</v>
      </c>
      <c r="M15" s="8">
        <f t="shared" si="4"/>
        <v>1</v>
      </c>
      <c r="N15" s="8">
        <f t="shared" si="4"/>
        <v>1</v>
      </c>
      <c r="O15" s="8">
        <f t="shared" si="4"/>
        <v>1</v>
      </c>
      <c r="P15" s="8">
        <f t="shared" si="4"/>
        <v>1</v>
      </c>
      <c r="Q15" s="8">
        <f t="shared" ref="Q15:Q16" si="6">SUM(C15:P15)</f>
        <v>23</v>
      </c>
    </row>
    <row r="16">
      <c r="A16" s="3"/>
      <c r="B16" s="22" t="s">
        <v>14</v>
      </c>
      <c r="C16" s="23">
        <f t="shared" ref="C16:P16" si="5">COUNTIF(C8:C14,"FALSE")</f>
        <v>5</v>
      </c>
      <c r="D16" s="23">
        <f t="shared" si="5"/>
        <v>3</v>
      </c>
      <c r="E16" s="23">
        <f t="shared" si="5"/>
        <v>3</v>
      </c>
      <c r="F16" s="23">
        <f t="shared" si="5"/>
        <v>2</v>
      </c>
      <c r="G16" s="23">
        <f t="shared" si="5"/>
        <v>4</v>
      </c>
      <c r="H16" s="23">
        <f t="shared" si="5"/>
        <v>4</v>
      </c>
      <c r="I16" s="23">
        <f t="shared" si="5"/>
        <v>5</v>
      </c>
      <c r="J16" s="23">
        <f t="shared" si="5"/>
        <v>5</v>
      </c>
      <c r="K16" s="23">
        <f t="shared" si="5"/>
        <v>5</v>
      </c>
      <c r="L16" s="23">
        <f t="shared" si="5"/>
        <v>5</v>
      </c>
      <c r="M16" s="23">
        <f t="shared" si="5"/>
        <v>5</v>
      </c>
      <c r="N16" s="23">
        <f t="shared" si="5"/>
        <v>5</v>
      </c>
      <c r="O16" s="23">
        <f t="shared" si="5"/>
        <v>5</v>
      </c>
      <c r="P16" s="23">
        <f t="shared" si="5"/>
        <v>5</v>
      </c>
      <c r="Q16" s="8">
        <f t="shared" si="6"/>
        <v>61</v>
      </c>
    </row>
    <row r="17">
      <c r="A17" s="3"/>
      <c r="B17" s="24" t="s">
        <v>15</v>
      </c>
      <c r="C17" s="25">
        <f t="shared" ref="C17:Q17" si="7">C15/(C15+C16)</f>
        <v>0.1666666667</v>
      </c>
      <c r="D17" s="25">
        <f t="shared" si="7"/>
        <v>0.5</v>
      </c>
      <c r="E17" s="25">
        <f t="shared" si="7"/>
        <v>0.5</v>
      </c>
      <c r="F17" s="25">
        <f t="shared" si="7"/>
        <v>0.6666666667</v>
      </c>
      <c r="G17" s="25">
        <f t="shared" si="7"/>
        <v>0.3333333333</v>
      </c>
      <c r="H17" s="25">
        <f t="shared" si="7"/>
        <v>0.3333333333</v>
      </c>
      <c r="I17" s="25">
        <f t="shared" si="7"/>
        <v>0.1666666667</v>
      </c>
      <c r="J17" s="25">
        <f t="shared" si="7"/>
        <v>0.1666666667</v>
      </c>
      <c r="K17" s="25">
        <f t="shared" si="7"/>
        <v>0.1666666667</v>
      </c>
      <c r="L17" s="25">
        <f t="shared" si="7"/>
        <v>0.1666666667</v>
      </c>
      <c r="M17" s="25">
        <f t="shared" si="7"/>
        <v>0.1666666667</v>
      </c>
      <c r="N17" s="25">
        <f t="shared" si="7"/>
        <v>0.1666666667</v>
      </c>
      <c r="O17" s="25">
        <f t="shared" si="7"/>
        <v>0.1666666667</v>
      </c>
      <c r="P17" s="25">
        <f t="shared" si="7"/>
        <v>0.1666666667</v>
      </c>
      <c r="Q17" s="25">
        <f t="shared" si="7"/>
        <v>0.2738095238</v>
      </c>
    </row>
    <row r="18" ht="50.25" customHeight="1">
      <c r="A18" s="3"/>
      <c r="B18" s="26" t="s">
        <v>16</v>
      </c>
      <c r="C18" s="23" t="str">
        <f>IF(C17&lt;25%,'biểu tượng'!$A3,IF(AND(C17&gt;=25%,C17&lt;50%),'biểu tượng'!$A4,IF(AND(C17&gt;=50%,C17&lt;75%),'biểu tượng'!$A5,IF(AND(C17&gt;=75%,C17&lt;98%),'biểu tượng'!$A6,IF(C17&gt;98%,'biểu tượng'!$A7,"")))))</f>
        <v/>
      </c>
      <c r="D18" s="23" t="str">
        <f>IF(D17&lt;25%,'biểu tượng'!$A3,IF(AND(D17&gt;=25%,D17&lt;50%),'biểu tượng'!$A4,IF(AND(D17&gt;=50%,D17&lt;75%),'biểu tượng'!$A5,IF(AND(D17&gt;=75%,D17&lt;98%),'biểu tượng'!$A6,IF(D17&gt;98%,'biểu tượng'!$A7,"")))))</f>
        <v/>
      </c>
      <c r="E18" s="23" t="str">
        <f>IF(E17&lt;25%,'biểu tượng'!$A3,IF(AND(E17&gt;=25%,E17&lt;50%),'biểu tượng'!$A4,IF(AND(E17&gt;=50%,E17&lt;75%),'biểu tượng'!$A5,IF(AND(E17&gt;=75%,E17&lt;98%),'biểu tượng'!$A6,IF(E17&gt;98%,'biểu tượng'!$A7,"")))))</f>
        <v/>
      </c>
      <c r="F18" s="23" t="str">
        <f>IF(F17&lt;25%,'biểu tượng'!$A3,IF(AND(F17&gt;=25%,F17&lt;50%),'biểu tượng'!$A4,IF(AND(F17&gt;=50%,F17&lt;75%),'biểu tượng'!$A5,IF(AND(F17&gt;=75%,F17&lt;98%),'biểu tượng'!$A6,IF(F17&gt;98%,'biểu tượng'!$A7,"")))))</f>
        <v/>
      </c>
      <c r="G18" s="23" t="str">
        <f>IF(G17&lt;25%,'biểu tượng'!$A3,IF(AND(G17&gt;=25%,G17&lt;50%),'biểu tượng'!$A4,IF(AND(G17&gt;=50%,G17&lt;75%),'biểu tượng'!$A5,IF(AND(G17&gt;=75%,G17&lt;98%),'biểu tượng'!$A6,IF(G17&gt;98%,'biểu tượng'!$A7,"")))))</f>
        <v/>
      </c>
      <c r="H18" s="23" t="str">
        <f>IF(H17&lt;25%,'biểu tượng'!$A3,IF(AND(H17&gt;=25%,H17&lt;50%),'biểu tượng'!$A4,IF(AND(H17&gt;=50%,H17&lt;75%),'biểu tượng'!$A5,IF(AND(H17&gt;=75%,H17&lt;98%),'biểu tượng'!$A6,IF(H17&gt;98%,'biểu tượng'!$A7,"")))))</f>
        <v/>
      </c>
      <c r="I18" s="23" t="str">
        <f>IF(I17&lt;25%,'biểu tượng'!$A3,IF(AND(I17&gt;=25%,I17&lt;50%),'biểu tượng'!$A4,IF(AND(I17&gt;=50%,I17&lt;75%),'biểu tượng'!$A5,IF(AND(I17&gt;=75%,I17&lt;98%),'biểu tượng'!$A6,IF(I17&gt;98%,'biểu tượng'!$A7,"")))))</f>
        <v/>
      </c>
      <c r="J18" s="23" t="str">
        <f>IF(J17&lt;25%,'biểu tượng'!$A3,IF(AND(J17&gt;=25%,J17&lt;50%),'biểu tượng'!$A4,IF(AND(J17&gt;=50%,J17&lt;75%),'biểu tượng'!$A5,IF(AND(J17&gt;=75%,J17&lt;98%),'biểu tượng'!$A6,IF(J17&gt;98%,'biểu tượng'!$A7,"")))))</f>
        <v/>
      </c>
      <c r="K18" s="23" t="str">
        <f>IF(K17&lt;25%,'biểu tượng'!$A3,IF(AND(K17&gt;=25%,K17&lt;50%),'biểu tượng'!$A4,IF(AND(K17&gt;=50%,K17&lt;75%),'biểu tượng'!$A5,IF(AND(K17&gt;=75%,K17&lt;98%),'biểu tượng'!$A6,IF(K17&gt;98%,'biểu tượng'!$A7,"")))))</f>
        <v/>
      </c>
      <c r="L18" s="23" t="str">
        <f>IF(L17&lt;25%,'biểu tượng'!$A3,IF(AND(L17&gt;=25%,L17&lt;50%),'biểu tượng'!$A4,IF(AND(L17&gt;=50%,L17&lt;75%),'biểu tượng'!$A5,IF(AND(L17&gt;=75%,L17&lt;98%),'biểu tượng'!$A6,IF(L17&gt;98%,'biểu tượng'!$A7,"")))))</f>
        <v/>
      </c>
      <c r="M18" s="23" t="str">
        <f>IF(M17&lt;25%,'biểu tượng'!$A3,IF(AND(M17&gt;=25%,M17&lt;50%),'biểu tượng'!$A4,IF(AND(M17&gt;=50%,M17&lt;75%),'biểu tượng'!$A5,IF(AND(M17&gt;=75%,M17&lt;98%),'biểu tượng'!$A6,IF(M17&gt;98%,'biểu tượng'!$A7,"")))))</f>
        <v/>
      </c>
      <c r="N18" s="23" t="str">
        <f>IF(N17&lt;25%,'biểu tượng'!$A3,IF(AND(N17&gt;=25%,N17&lt;50%),'biểu tượng'!$A4,IF(AND(N17&gt;=50%,N17&lt;75%),'biểu tượng'!$A5,IF(AND(N17&gt;=75%,N17&lt;98%),'biểu tượng'!$A6,IF(N17&gt;98%,'biểu tượng'!$A7,"")))))</f>
        <v/>
      </c>
      <c r="O18" s="23" t="str">
        <f>IF(O17&lt;25%,'biểu tượng'!$A3,IF(AND(O17&gt;=25%,O17&lt;50%),'biểu tượng'!$A4,IF(AND(O17&gt;=50%,O17&lt;75%),'biểu tượng'!$A5,IF(AND(O17&gt;=75%,O17&lt;98%),'biểu tượng'!$A6,IF(O17&gt;98%,'biểu tượng'!$A7,"")))))</f>
        <v/>
      </c>
      <c r="P18" s="23" t="str">
        <f>IF(P17&lt;25%,'biểu tượng'!$A3,IF(AND(P17&gt;=25%,P17&lt;50%),'biểu tượng'!$A4,IF(AND(P17&gt;=50%,P17&lt;75%),'biểu tượng'!$A5,IF(AND(P17&gt;=75%,P17&lt;98%),'biểu tượng'!$A6,IF(P17&gt;98%,'biểu tượng'!$A7,"")))))</f>
        <v/>
      </c>
      <c r="Q18" s="8"/>
    </row>
    <row r="19" ht="51.75" customHeight="1">
      <c r="A19" s="3"/>
      <c r="B19" s="2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</sheetData>
  <mergeCells count="1">
    <mergeCell ref="Q6:Q7"/>
  </mergeCells>
  <conditionalFormatting sqref="C6:P14">
    <cfRule type="expression" dxfId="0" priority="1">
      <formula>WEEKDAY(I$6)=7</formula>
    </cfRule>
  </conditionalFormatting>
  <dataValidations>
    <dataValidation type="list" allowBlank="1" showErrorMessage="1" sqref="B4">
      <formula1>"1,2,3,4,5,6,7,8,9,10,11,12"</formula1>
    </dataValidation>
    <dataValidation type="list" allowBlank="1" showErrorMessage="1" sqref="B3">
      <formula1>"2024,2025,2026,2027,2028,2029,2030"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38"/>
    <col customWidth="1" min="2" max="2" width="24.63"/>
    <col customWidth="1" min="3" max="17" width="8.38"/>
  </cols>
  <sheetData>
    <row r="1">
      <c r="A1" s="1" t="s">
        <v>0</v>
      </c>
      <c r="B1" s="2" t="s">
        <v>17</v>
      </c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50.25" customHeight="1">
      <c r="A3" s="6" t="s">
        <v>2</v>
      </c>
      <c r="B3" s="7">
        <v>2024.0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ht="50.25" customHeight="1">
      <c r="A4" s="6" t="s">
        <v>3</v>
      </c>
      <c r="B4" s="9">
        <v>3.0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>
      <c r="A5" s="3"/>
      <c r="B5" s="5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ht="21.75" customHeight="1">
      <c r="A6" s="10" t="s">
        <v>4</v>
      </c>
      <c r="B6" s="11" t="s">
        <v>5</v>
      </c>
      <c r="C6" s="12">
        <f>DATE(B3,B4,1)</f>
        <v>45352</v>
      </c>
      <c r="D6" s="13">
        <v>4.0</v>
      </c>
      <c r="E6" s="13">
        <v>7.0</v>
      </c>
      <c r="F6" s="13">
        <v>11.0</v>
      </c>
      <c r="G6" s="12">
        <f t="shared" ref="G6:P6" si="1">F6+1</f>
        <v>12</v>
      </c>
      <c r="H6" s="12">
        <f t="shared" si="1"/>
        <v>13</v>
      </c>
      <c r="I6" s="12">
        <f t="shared" si="1"/>
        <v>14</v>
      </c>
      <c r="J6" s="12">
        <f t="shared" si="1"/>
        <v>15</v>
      </c>
      <c r="K6" s="12">
        <f t="shared" si="1"/>
        <v>16</v>
      </c>
      <c r="L6" s="12">
        <f t="shared" si="1"/>
        <v>17</v>
      </c>
      <c r="M6" s="12">
        <f t="shared" si="1"/>
        <v>18</v>
      </c>
      <c r="N6" s="12">
        <f t="shared" si="1"/>
        <v>19</v>
      </c>
      <c r="O6" s="12">
        <f t="shared" si="1"/>
        <v>20</v>
      </c>
      <c r="P6" s="12">
        <f t="shared" si="1"/>
        <v>21</v>
      </c>
      <c r="Q6" s="14" t="s">
        <v>6</v>
      </c>
    </row>
    <row r="7" ht="21.75" customHeight="1">
      <c r="A7" s="15"/>
      <c r="B7" s="11" t="s">
        <v>7</v>
      </c>
      <c r="C7" s="16" t="str">
        <f t="shared" ref="C7:P7" si="2">IF(C6="","",CHOOSE(WEEKDAY(C6),"CN","T2","T3","T4","T5","T6","T7"))</f>
        <v>T6</v>
      </c>
      <c r="D7" s="16" t="str">
        <f t="shared" si="2"/>
        <v>T4</v>
      </c>
      <c r="E7" s="16" t="str">
        <f t="shared" si="2"/>
        <v>T7</v>
      </c>
      <c r="F7" s="16" t="str">
        <f t="shared" si="2"/>
        <v>T4</v>
      </c>
      <c r="G7" s="16" t="str">
        <f t="shared" si="2"/>
        <v>T5</v>
      </c>
      <c r="H7" s="16" t="str">
        <f t="shared" si="2"/>
        <v>T6</v>
      </c>
      <c r="I7" s="16" t="str">
        <f t="shared" si="2"/>
        <v>T7</v>
      </c>
      <c r="J7" s="16" t="str">
        <f t="shared" si="2"/>
        <v>CN</v>
      </c>
      <c r="K7" s="16" t="str">
        <f t="shared" si="2"/>
        <v>T2</v>
      </c>
      <c r="L7" s="16" t="str">
        <f t="shared" si="2"/>
        <v>T3</v>
      </c>
      <c r="M7" s="16" t="str">
        <f t="shared" si="2"/>
        <v>T4</v>
      </c>
      <c r="N7" s="16" t="str">
        <f t="shared" si="2"/>
        <v>T5</v>
      </c>
      <c r="O7" s="16" t="str">
        <f t="shared" si="2"/>
        <v>T6</v>
      </c>
      <c r="P7" s="16" t="str">
        <f t="shared" si="2"/>
        <v>T7</v>
      </c>
      <c r="Q7" s="17"/>
    </row>
    <row r="8" ht="27.0" customHeight="1">
      <c r="A8" s="10">
        <v>1.0</v>
      </c>
      <c r="B8" s="18" t="s">
        <v>8</v>
      </c>
      <c r="C8" s="19" t="b">
        <v>1</v>
      </c>
      <c r="D8" s="19" t="b">
        <v>0</v>
      </c>
      <c r="E8" s="19" t="b">
        <v>0</v>
      </c>
      <c r="F8" s="19" t="b">
        <v>1</v>
      </c>
      <c r="G8" s="19" t="b">
        <v>1</v>
      </c>
      <c r="H8" s="19" t="b">
        <v>1</v>
      </c>
      <c r="I8" s="19" t="b">
        <v>1</v>
      </c>
      <c r="J8" s="19" t="b">
        <v>1</v>
      </c>
      <c r="K8" s="19" t="b">
        <v>1</v>
      </c>
      <c r="L8" s="19" t="b">
        <v>1</v>
      </c>
      <c r="M8" s="19" t="b">
        <v>1</v>
      </c>
      <c r="N8" s="19" t="b">
        <v>1</v>
      </c>
      <c r="O8" s="19" t="b">
        <v>1</v>
      </c>
      <c r="P8" s="19" t="b">
        <v>1</v>
      </c>
      <c r="Q8" s="20">
        <f t="shared" ref="Q8:Q14" si="3">COUNTIF(C8:P8,"TRUE")</f>
        <v>12</v>
      </c>
    </row>
    <row r="9" ht="27.0" customHeight="1">
      <c r="A9" s="10">
        <v>2.0</v>
      </c>
      <c r="B9" s="21" t="s">
        <v>9</v>
      </c>
      <c r="C9" s="19" t="b">
        <v>0</v>
      </c>
      <c r="D9" s="19" t="b">
        <v>0</v>
      </c>
      <c r="E9" s="19" t="b">
        <v>0</v>
      </c>
      <c r="F9" s="19" t="b">
        <v>1</v>
      </c>
      <c r="G9" s="19" t="b">
        <v>0</v>
      </c>
      <c r="H9" s="19" t="b">
        <v>1</v>
      </c>
      <c r="I9" s="19" t="b">
        <v>0</v>
      </c>
      <c r="J9" s="20" t="b">
        <v>0</v>
      </c>
      <c r="K9" s="20" t="b">
        <v>0</v>
      </c>
      <c r="L9" s="20" t="b">
        <v>0</v>
      </c>
      <c r="M9" s="20" t="b">
        <v>0</v>
      </c>
      <c r="N9" s="20" t="b">
        <v>0</v>
      </c>
      <c r="O9" s="20" t="b">
        <v>0</v>
      </c>
      <c r="P9" s="20" t="b">
        <v>0</v>
      </c>
      <c r="Q9" s="20">
        <f t="shared" si="3"/>
        <v>2</v>
      </c>
    </row>
    <row r="10" ht="27.0" customHeight="1">
      <c r="A10" s="10">
        <v>3.0</v>
      </c>
      <c r="B10" s="21" t="s">
        <v>10</v>
      </c>
      <c r="C10" s="19" t="b">
        <v>0</v>
      </c>
      <c r="D10" s="19" t="b">
        <v>0</v>
      </c>
      <c r="E10" s="19" t="b">
        <v>0</v>
      </c>
      <c r="F10" s="19" t="b">
        <v>1</v>
      </c>
      <c r="G10" s="19" t="b">
        <v>1</v>
      </c>
      <c r="H10" s="19" t="b">
        <v>0</v>
      </c>
      <c r="I10" s="19" t="b">
        <v>0</v>
      </c>
      <c r="J10" s="20" t="b">
        <v>0</v>
      </c>
      <c r="K10" s="20" t="b">
        <v>0</v>
      </c>
      <c r="L10" s="20" t="b">
        <v>0</v>
      </c>
      <c r="M10" s="20" t="b">
        <v>0</v>
      </c>
      <c r="N10" s="20" t="b">
        <v>0</v>
      </c>
      <c r="O10" s="20" t="b">
        <v>0</v>
      </c>
      <c r="P10" s="20" t="b">
        <v>0</v>
      </c>
      <c r="Q10" s="20">
        <f t="shared" si="3"/>
        <v>2</v>
      </c>
    </row>
    <row r="11" ht="27.0" customHeight="1">
      <c r="A11" s="10">
        <v>4.0</v>
      </c>
      <c r="B11" s="21" t="s">
        <v>11</v>
      </c>
      <c r="C11" s="19" t="b">
        <v>0</v>
      </c>
      <c r="D11" s="19" t="b">
        <v>0</v>
      </c>
      <c r="E11" s="19" t="b">
        <v>0</v>
      </c>
      <c r="F11" s="19" t="b">
        <v>1</v>
      </c>
      <c r="G11" s="19" t="b">
        <v>0</v>
      </c>
      <c r="H11" s="19" t="b">
        <v>0</v>
      </c>
      <c r="I11" s="19" t="b">
        <v>0</v>
      </c>
      <c r="J11" s="20" t="b">
        <v>0</v>
      </c>
      <c r="K11" s="20" t="b">
        <v>0</v>
      </c>
      <c r="L11" s="20" t="b">
        <v>0</v>
      </c>
      <c r="M11" s="20" t="b">
        <v>0</v>
      </c>
      <c r="N11" s="20" t="b">
        <v>0</v>
      </c>
      <c r="O11" s="20" t="b">
        <v>0</v>
      </c>
      <c r="P11" s="20" t="b">
        <v>0</v>
      </c>
      <c r="Q11" s="20">
        <f t="shared" si="3"/>
        <v>1</v>
      </c>
    </row>
    <row r="12" ht="27.0" customHeight="1">
      <c r="A12" s="10">
        <v>5.0</v>
      </c>
      <c r="B12" s="21" t="s">
        <v>12</v>
      </c>
      <c r="C12" s="19" t="b">
        <v>1</v>
      </c>
      <c r="D12" s="19" t="b">
        <v>1</v>
      </c>
      <c r="E12" s="19" t="b">
        <v>1</v>
      </c>
      <c r="F12" s="19" t="b">
        <v>1</v>
      </c>
      <c r="G12" s="19" t="b">
        <v>0</v>
      </c>
      <c r="H12" s="19" t="b">
        <v>1</v>
      </c>
      <c r="I12" s="19" t="b">
        <v>0</v>
      </c>
      <c r="J12" s="20" t="b">
        <v>0</v>
      </c>
      <c r="K12" s="20" t="b">
        <v>0</v>
      </c>
      <c r="L12" s="20" t="b">
        <v>0</v>
      </c>
      <c r="M12" s="20" t="b">
        <v>0</v>
      </c>
      <c r="N12" s="20" t="b">
        <v>0</v>
      </c>
      <c r="O12" s="20" t="b">
        <v>0</v>
      </c>
      <c r="P12" s="20" t="b">
        <v>0</v>
      </c>
      <c r="Q12" s="20">
        <f t="shared" si="3"/>
        <v>5</v>
      </c>
    </row>
    <row r="13" ht="27.0" customHeight="1">
      <c r="A13" s="10">
        <v>6.0</v>
      </c>
      <c r="B13" s="21"/>
      <c r="C13" s="19" t="b">
        <v>0</v>
      </c>
      <c r="D13" s="19" t="b">
        <v>0</v>
      </c>
      <c r="E13" s="19" t="b">
        <v>0</v>
      </c>
      <c r="F13" s="19" t="b">
        <v>0</v>
      </c>
      <c r="G13" s="19" t="b">
        <v>0</v>
      </c>
      <c r="H13" s="19" t="b">
        <v>0</v>
      </c>
      <c r="I13" s="19" t="b">
        <v>0</v>
      </c>
      <c r="J13" s="20" t="b">
        <v>0</v>
      </c>
      <c r="K13" s="20" t="b">
        <v>0</v>
      </c>
      <c r="L13" s="20" t="b">
        <v>0</v>
      </c>
      <c r="M13" s="20" t="b">
        <v>0</v>
      </c>
      <c r="N13" s="20" t="b">
        <v>0</v>
      </c>
      <c r="O13" s="20" t="b">
        <v>0</v>
      </c>
      <c r="P13" s="20" t="b">
        <v>0</v>
      </c>
      <c r="Q13" s="20">
        <f t="shared" si="3"/>
        <v>0</v>
      </c>
    </row>
    <row r="14" ht="27.0" customHeight="1">
      <c r="A14" s="10">
        <v>7.0</v>
      </c>
      <c r="B14" s="21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20"/>
      <c r="P14" s="20"/>
      <c r="Q14" s="20">
        <f t="shared" si="3"/>
        <v>0</v>
      </c>
    </row>
    <row r="15">
      <c r="A15" s="3"/>
      <c r="B15" s="22" t="s">
        <v>13</v>
      </c>
      <c r="C15" s="8">
        <f t="shared" ref="C15:P15" si="4">COUNTIF(C8:C14,"TRUE")</f>
        <v>2</v>
      </c>
      <c r="D15" s="8">
        <f t="shared" si="4"/>
        <v>1</v>
      </c>
      <c r="E15" s="8">
        <f t="shared" si="4"/>
        <v>1</v>
      </c>
      <c r="F15" s="8">
        <f t="shared" si="4"/>
        <v>5</v>
      </c>
      <c r="G15" s="8">
        <f t="shared" si="4"/>
        <v>2</v>
      </c>
      <c r="H15" s="8">
        <f t="shared" si="4"/>
        <v>3</v>
      </c>
      <c r="I15" s="8">
        <f t="shared" si="4"/>
        <v>1</v>
      </c>
      <c r="J15" s="8">
        <f t="shared" si="4"/>
        <v>1</v>
      </c>
      <c r="K15" s="8">
        <f t="shared" si="4"/>
        <v>1</v>
      </c>
      <c r="L15" s="8">
        <f t="shared" si="4"/>
        <v>1</v>
      </c>
      <c r="M15" s="8">
        <f t="shared" si="4"/>
        <v>1</v>
      </c>
      <c r="N15" s="8">
        <f t="shared" si="4"/>
        <v>1</v>
      </c>
      <c r="O15" s="8">
        <f t="shared" si="4"/>
        <v>1</v>
      </c>
      <c r="P15" s="8">
        <f t="shared" si="4"/>
        <v>1</v>
      </c>
      <c r="Q15" s="8">
        <f t="shared" ref="Q15:Q16" si="6">SUM(C15:P15)</f>
        <v>22</v>
      </c>
    </row>
    <row r="16">
      <c r="A16" s="3"/>
      <c r="B16" s="22" t="s">
        <v>14</v>
      </c>
      <c r="C16" s="23">
        <f t="shared" ref="C16:P16" si="5">COUNTIF(C8:C14,"FALSE")</f>
        <v>4</v>
      </c>
      <c r="D16" s="23">
        <f t="shared" si="5"/>
        <v>5</v>
      </c>
      <c r="E16" s="23">
        <f t="shared" si="5"/>
        <v>5</v>
      </c>
      <c r="F16" s="23">
        <f t="shared" si="5"/>
        <v>1</v>
      </c>
      <c r="G16" s="23">
        <f t="shared" si="5"/>
        <v>4</v>
      </c>
      <c r="H16" s="23">
        <f t="shared" si="5"/>
        <v>3</v>
      </c>
      <c r="I16" s="23">
        <f t="shared" si="5"/>
        <v>5</v>
      </c>
      <c r="J16" s="23">
        <f t="shared" si="5"/>
        <v>5</v>
      </c>
      <c r="K16" s="23">
        <f t="shared" si="5"/>
        <v>5</v>
      </c>
      <c r="L16" s="23">
        <f t="shared" si="5"/>
        <v>5</v>
      </c>
      <c r="M16" s="23">
        <f t="shared" si="5"/>
        <v>5</v>
      </c>
      <c r="N16" s="23">
        <f t="shared" si="5"/>
        <v>5</v>
      </c>
      <c r="O16" s="23">
        <f t="shared" si="5"/>
        <v>5</v>
      </c>
      <c r="P16" s="23">
        <f t="shared" si="5"/>
        <v>5</v>
      </c>
      <c r="Q16" s="8">
        <f t="shared" si="6"/>
        <v>62</v>
      </c>
    </row>
    <row r="17">
      <c r="A17" s="3"/>
      <c r="B17" s="24" t="s">
        <v>15</v>
      </c>
      <c r="C17" s="25">
        <f t="shared" ref="C17:Q17" si="7">C15/(C15+C16)</f>
        <v>0.3333333333</v>
      </c>
      <c r="D17" s="25">
        <f t="shared" si="7"/>
        <v>0.1666666667</v>
      </c>
      <c r="E17" s="25">
        <f t="shared" si="7"/>
        <v>0.1666666667</v>
      </c>
      <c r="F17" s="25">
        <f t="shared" si="7"/>
        <v>0.8333333333</v>
      </c>
      <c r="G17" s="25">
        <f t="shared" si="7"/>
        <v>0.3333333333</v>
      </c>
      <c r="H17" s="25">
        <f t="shared" si="7"/>
        <v>0.5</v>
      </c>
      <c r="I17" s="25">
        <f t="shared" si="7"/>
        <v>0.1666666667</v>
      </c>
      <c r="J17" s="25">
        <f t="shared" si="7"/>
        <v>0.1666666667</v>
      </c>
      <c r="K17" s="25">
        <f t="shared" si="7"/>
        <v>0.1666666667</v>
      </c>
      <c r="L17" s="25">
        <f t="shared" si="7"/>
        <v>0.1666666667</v>
      </c>
      <c r="M17" s="25">
        <f t="shared" si="7"/>
        <v>0.1666666667</v>
      </c>
      <c r="N17" s="25">
        <f t="shared" si="7"/>
        <v>0.1666666667</v>
      </c>
      <c r="O17" s="25">
        <f t="shared" si="7"/>
        <v>0.1666666667</v>
      </c>
      <c r="P17" s="25">
        <f t="shared" si="7"/>
        <v>0.1666666667</v>
      </c>
      <c r="Q17" s="25">
        <f t="shared" si="7"/>
        <v>0.2619047619</v>
      </c>
    </row>
    <row r="18" ht="50.25" customHeight="1">
      <c r="A18" s="3"/>
      <c r="B18" s="26" t="s">
        <v>16</v>
      </c>
      <c r="C18" s="23" t="str">
        <f>IF(C17&lt;25%,'biểu tượng'!$A3,IF(AND(C17&gt;=25%,C17&lt;50%),'biểu tượng'!$A4,IF(AND(C17&gt;=50%,C17&lt;75%),'biểu tượng'!$A5,IF(AND(C17&gt;=75%,C17&lt;98%),'biểu tượng'!$A6,IF(C17&gt;98%,'biểu tượng'!$A7,"")))))</f>
        <v/>
      </c>
      <c r="D18" s="23" t="str">
        <f>IF(D17&lt;25%,'biểu tượng'!$A3,IF(AND(D17&gt;=25%,D17&lt;50%),'biểu tượng'!$A4,IF(AND(D17&gt;=50%,D17&lt;75%),'biểu tượng'!$A5,IF(AND(D17&gt;=75%,D17&lt;98%),'biểu tượng'!$A6,IF(D17&gt;98%,'biểu tượng'!$A7,"")))))</f>
        <v/>
      </c>
      <c r="E18" s="23" t="str">
        <f>IF(E17&lt;25%,'biểu tượng'!$A3,IF(AND(E17&gt;=25%,E17&lt;50%),'biểu tượng'!$A4,IF(AND(E17&gt;=50%,E17&lt;75%),'biểu tượng'!$A5,IF(AND(E17&gt;=75%,E17&lt;98%),'biểu tượng'!$A6,IF(E17&gt;98%,'biểu tượng'!$A7,"")))))</f>
        <v/>
      </c>
      <c r="F18" s="23" t="str">
        <f>IF(F17&lt;25%,'biểu tượng'!$A3,IF(AND(F17&gt;=25%,F17&lt;50%),'biểu tượng'!$A4,IF(AND(F17&gt;=50%,F17&lt;75%),'biểu tượng'!$A5,IF(AND(F17&gt;=75%,F17&lt;98%),'biểu tượng'!$A6,IF(F17&gt;98%,'biểu tượng'!$A7,"")))))</f>
        <v/>
      </c>
      <c r="G18" s="23" t="str">
        <f>IF(G17&lt;25%,'biểu tượng'!$A3,IF(AND(G17&gt;=25%,G17&lt;50%),'biểu tượng'!$A4,IF(AND(G17&gt;=50%,G17&lt;75%),'biểu tượng'!$A5,IF(AND(G17&gt;=75%,G17&lt;98%),'biểu tượng'!$A6,IF(G17&gt;98%,'biểu tượng'!$A7,"")))))</f>
        <v/>
      </c>
      <c r="H18" s="23" t="str">
        <f>IF(H17&lt;25%,'biểu tượng'!$A3,IF(AND(H17&gt;=25%,H17&lt;50%),'biểu tượng'!$A4,IF(AND(H17&gt;=50%,H17&lt;75%),'biểu tượng'!$A5,IF(AND(H17&gt;=75%,H17&lt;98%),'biểu tượng'!$A6,IF(H17&gt;98%,'biểu tượng'!$A7,"")))))</f>
        <v/>
      </c>
      <c r="I18" s="23" t="str">
        <f>IF(I17&lt;25%,'biểu tượng'!$A3,IF(AND(I17&gt;=25%,I17&lt;50%),'biểu tượng'!$A4,IF(AND(I17&gt;=50%,I17&lt;75%),'biểu tượng'!$A5,IF(AND(I17&gt;=75%,I17&lt;98%),'biểu tượng'!$A6,IF(I17&gt;98%,'biểu tượng'!$A7,"")))))</f>
        <v/>
      </c>
      <c r="J18" s="23" t="str">
        <f>IF(J17&lt;25%,'biểu tượng'!$A3,IF(AND(J17&gt;=25%,J17&lt;50%),'biểu tượng'!$A4,IF(AND(J17&gt;=50%,J17&lt;75%),'biểu tượng'!$A5,IF(AND(J17&gt;=75%,J17&lt;98%),'biểu tượng'!$A6,IF(J17&gt;98%,'biểu tượng'!$A7,"")))))</f>
        <v/>
      </c>
      <c r="K18" s="23" t="str">
        <f>IF(K17&lt;25%,'biểu tượng'!$A3,IF(AND(K17&gt;=25%,K17&lt;50%),'biểu tượng'!$A4,IF(AND(K17&gt;=50%,K17&lt;75%),'biểu tượng'!$A5,IF(AND(K17&gt;=75%,K17&lt;98%),'biểu tượng'!$A6,IF(K17&gt;98%,'biểu tượng'!$A7,"")))))</f>
        <v/>
      </c>
      <c r="L18" s="23" t="str">
        <f>IF(L17&lt;25%,'biểu tượng'!$A3,IF(AND(L17&gt;=25%,L17&lt;50%),'biểu tượng'!$A4,IF(AND(L17&gt;=50%,L17&lt;75%),'biểu tượng'!$A5,IF(AND(L17&gt;=75%,L17&lt;98%),'biểu tượng'!$A6,IF(L17&gt;98%,'biểu tượng'!$A7,"")))))</f>
        <v/>
      </c>
      <c r="M18" s="23" t="str">
        <f>IF(M17&lt;25%,'biểu tượng'!$A3,IF(AND(M17&gt;=25%,M17&lt;50%),'biểu tượng'!$A4,IF(AND(M17&gt;=50%,M17&lt;75%),'biểu tượng'!$A5,IF(AND(M17&gt;=75%,M17&lt;98%),'biểu tượng'!$A6,IF(M17&gt;98%,'biểu tượng'!$A7,"")))))</f>
        <v/>
      </c>
      <c r="N18" s="23" t="str">
        <f>IF(N17&lt;25%,'biểu tượng'!$A3,IF(AND(N17&gt;=25%,N17&lt;50%),'biểu tượng'!$A4,IF(AND(N17&gt;=50%,N17&lt;75%),'biểu tượng'!$A5,IF(AND(N17&gt;=75%,N17&lt;98%),'biểu tượng'!$A6,IF(N17&gt;98%,'biểu tượng'!$A7,"")))))</f>
        <v/>
      </c>
      <c r="O18" s="23" t="str">
        <f>IF(O17&lt;25%,'biểu tượng'!$A3,IF(AND(O17&gt;=25%,O17&lt;50%),'biểu tượng'!$A4,IF(AND(O17&gt;=50%,O17&lt;75%),'biểu tượng'!$A5,IF(AND(O17&gt;=75%,O17&lt;98%),'biểu tượng'!$A6,IF(O17&gt;98%,'biểu tượng'!$A7,"")))))</f>
        <v/>
      </c>
      <c r="P18" s="23" t="str">
        <f>IF(P17&lt;25%,'biểu tượng'!$A3,IF(AND(P17&gt;=25%,P17&lt;50%),'biểu tượng'!$A4,IF(AND(P17&gt;=50%,P17&lt;75%),'biểu tượng'!$A5,IF(AND(P17&gt;=75%,P17&lt;98%),'biểu tượng'!$A6,IF(P17&gt;98%,'biểu tượng'!$A7,"")))))</f>
        <v/>
      </c>
      <c r="Q18" s="8"/>
    </row>
    <row r="19" ht="51.75" customHeight="1">
      <c r="A19" s="3"/>
      <c r="B19" s="2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</sheetData>
  <mergeCells count="1">
    <mergeCell ref="Q6:Q7"/>
  </mergeCells>
  <conditionalFormatting sqref="C6:P14">
    <cfRule type="expression" dxfId="0" priority="1">
      <formula>WEEKDAY(I$6)=7</formula>
    </cfRule>
  </conditionalFormatting>
  <dataValidations>
    <dataValidation type="list" allowBlank="1" showErrorMessage="1" sqref="B4">
      <formula1>"1,2,3,4,5,6,7,8,9,10,11,12"</formula1>
    </dataValidation>
    <dataValidation type="list" allowBlank="1" showErrorMessage="1" sqref="B3">
      <formula1>"2024,2025,2026,2027,2028,2029,2030"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7" t="s">
        <v>18</v>
      </c>
    </row>
    <row r="4">
      <c r="A4" s="28" t="s">
        <v>19</v>
      </c>
    </row>
    <row r="5">
      <c r="A5" s="28" t="s">
        <v>20</v>
      </c>
    </row>
    <row r="6">
      <c r="A6" s="28" t="s">
        <v>21</v>
      </c>
    </row>
    <row r="7">
      <c r="A7" s="28" t="s">
        <v>22</v>
      </c>
    </row>
    <row r="8">
      <c r="A8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0" t="s">
        <v>23</v>
      </c>
    </row>
    <row r="3" ht="91.5" customHeight="1">
      <c r="A3" s="31"/>
      <c r="B3" s="32"/>
    </row>
    <row r="4" ht="91.5" customHeight="1">
      <c r="A4" s="31"/>
    </row>
    <row r="5" ht="91.5" customHeight="1">
      <c r="A5" s="31"/>
    </row>
    <row r="6" ht="91.5" customHeight="1">
      <c r="A6" s="31"/>
    </row>
    <row r="7" ht="91.5" customHeight="1">
      <c r="A7" s="31"/>
    </row>
    <row r="8" ht="91.5" customHeight="1"/>
    <row r="9" ht="91.5" customHeight="1"/>
    <row r="10" ht="91.5" customHeight="1"/>
    <row r="11" ht="91.5" customHeight="1"/>
    <row r="12" ht="91.5" customHeight="1"/>
    <row r="13" ht="91.5" customHeight="1"/>
  </sheetData>
  <drawing r:id="rId1"/>
</worksheet>
</file>